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ricsson.sharepoint.com/sites/tmus_managed_services/organization_view/Shared Documents/UPRISING PRODUCT DATA DELIVERY/PDD Roster/"/>
    </mc:Choice>
  </mc:AlternateContent>
  <xr:revisionPtr revIDLastSave="239" documentId="13_ncr:1_{A66C2CB3-BE77-4CA0-BBBC-AE2624DB156C}" xr6:coauthVersionLast="47" xr6:coauthVersionMax="47" xr10:uidLastSave="{F0F4123D-52B4-48BA-8930-D031E0441012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Sheet1!$A$2:$AA$15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 a="1"/>
  <c r="F16" i="2"/>
  <c r="B16" i="2"/>
  <c r="C16" i="2"/>
  <c r="C5" i="2"/>
  <c r="C6" i="2"/>
  <c r="C7" i="2"/>
  <c r="C8" i="2"/>
  <c r="C9" i="2"/>
  <c r="C10" i="2"/>
  <c r="C11" i="2"/>
  <c r="C12" i="2"/>
  <c r="C13" i="2"/>
  <c r="C14" i="2"/>
  <c r="C15" i="2"/>
  <c r="B5" i="2"/>
  <c r="B6" i="2"/>
  <c r="B7" i="2"/>
  <c r="B8" i="2"/>
  <c r="B9" i="2"/>
  <c r="B10" i="2"/>
  <c r="B11" i="2"/>
  <c r="B12" i="2"/>
  <c r="B13" i="2"/>
  <c r="B14" i="2"/>
  <c r="B15" i="2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4" i="2" a="1"/>
  <c r="F4" i="2" s="1"/>
  <c r="C4" i="2" l="1"/>
  <c r="B4" i="2"/>
  <c r="I1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<sst xmlns="http://schemas.openxmlformats.org/spreadsheetml/2006/main" count="399" uniqueCount="59">
  <si>
    <t>PDD OFFERS OFFSHORE ROSTER - JUNE 2025</t>
  </si>
  <si>
    <t>Function</t>
  </si>
  <si>
    <t>LC</t>
  </si>
  <si>
    <t>OC</t>
  </si>
  <si>
    <t>DOW-&gt;</t>
  </si>
  <si>
    <t>Location</t>
  </si>
  <si>
    <t>Working Days</t>
  </si>
  <si>
    <t>Sun</t>
  </si>
  <si>
    <t>Mon</t>
  </si>
  <si>
    <t>Tue</t>
  </si>
  <si>
    <t>Wed</t>
  </si>
  <si>
    <t>Thu</t>
  </si>
  <si>
    <t>Fri</t>
  </si>
  <si>
    <t>Sat</t>
  </si>
  <si>
    <t>Date-&gt;</t>
  </si>
  <si>
    <t>Testing</t>
  </si>
  <si>
    <t xml:space="preserve">Aditya </t>
  </si>
  <si>
    <t>Noida</t>
  </si>
  <si>
    <t>G</t>
  </si>
  <si>
    <t>E1</t>
  </si>
  <si>
    <t>Testing+BSA</t>
  </si>
  <si>
    <t>Aparupa</t>
  </si>
  <si>
    <t>Kolkata</t>
  </si>
  <si>
    <t>L</t>
  </si>
  <si>
    <t>Vikram</t>
  </si>
  <si>
    <t xml:space="preserve">Alok </t>
  </si>
  <si>
    <t>Config</t>
  </si>
  <si>
    <t>Shalini</t>
  </si>
  <si>
    <t>Rupali</t>
  </si>
  <si>
    <t>Pune</t>
  </si>
  <si>
    <t>Shubham K L</t>
  </si>
  <si>
    <t>Shubham P</t>
  </si>
  <si>
    <t>DM+Config</t>
  </si>
  <si>
    <t>Rakesh</t>
  </si>
  <si>
    <t>DM+BSCS</t>
  </si>
  <si>
    <t>Neeraj</t>
  </si>
  <si>
    <t>N</t>
  </si>
  <si>
    <t>BSA</t>
  </si>
  <si>
    <t xml:space="preserve">Amit </t>
  </si>
  <si>
    <t>E2</t>
  </si>
  <si>
    <t>Developer</t>
  </si>
  <si>
    <t xml:space="preserve">Anshul </t>
  </si>
  <si>
    <t>M</t>
  </si>
  <si>
    <t xml:space="preserve">Morning </t>
  </si>
  <si>
    <t>7.30 AM -   4.00 PM / 8.30 AM -   5.00 PM</t>
  </si>
  <si>
    <t>Total Leaves</t>
  </si>
  <si>
    <t>Evening</t>
  </si>
  <si>
    <t>2.00 PM - 11.00 PM</t>
  </si>
  <si>
    <t>3.00 PM - 12.00 AM</t>
  </si>
  <si>
    <t>On Call</t>
  </si>
  <si>
    <t>Leave</t>
  </si>
  <si>
    <t>H</t>
  </si>
  <si>
    <t>Holiday</t>
  </si>
  <si>
    <t>General</t>
  </si>
  <si>
    <t>8.30 AM - 5.30 PM</t>
  </si>
  <si>
    <t>Night</t>
  </si>
  <si>
    <t>6.30 PM - 3.30 AM</t>
  </si>
  <si>
    <t>Automation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</si>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</sst>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/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0" fillId="6" borderId="1" xfId="0" applyFill="1" applyBorder="1" applyAlignment="1">
      <alignment horizontal="center"/>
    </xf>
    <xf numFmtId="0" fontId="3" fillId="2" borderId="1" xfId="0" applyFont="1" applyFill="1" applyBorder="1"/>
    <xf numFmtId="15" fontId="3" fillId="2" borderId="1" xfId="0" applyNumberFormat="1" applyFont="1" applyFill="1" applyBorder="1"/>
    <xf numFmtId="0" fontId="0" fillId="0" borderId="1" xfId="0" applyBorder="1"/>
    <xf numFmtId="15" fontId="3" fillId="2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5" fontId="3" fillId="8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7" fontId="2" fillId="6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5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"/>
  <sheetViews>
    <sheetView tabSelected="1" zoomScale="72" zoomScaleNormal="72" workbookViewId="0">
      <selection activeCell="P21" sqref="P21"/>
    </sheetView>
  </sheetViews>
  <sheetFormatPr defaultRowHeight="14.5" x14ac:dyDescent="0.35"/>
  <cols>
    <col min="1" max="1" width="10.7265625" customWidth="1"/>
    <col min="2" max="2" width="6.1796875" customWidth="1"/>
    <col min="3" max="3" width="6.81640625" customWidth="1"/>
    <col min="4" max="4" width="11.54296875" customWidth="1"/>
    <col min="5" max="5" width="9.7265625" customWidth="1"/>
    <col min="6" max="6" width="12.1796875" customWidth="1"/>
    <col min="7" max="7" width="6.1796875" bestFit="1" customWidth="1"/>
    <col min="8" max="10" width="5.453125" customWidth="1"/>
    <col min="11" max="11" width="5.81640625" customWidth="1"/>
    <col min="12" max="12" width="6.1796875" bestFit="1" customWidth="1"/>
    <col min="13" max="14" width="5.81640625" customWidth="1"/>
    <col min="15" max="15" width="5.1796875" customWidth="1"/>
    <col min="16" max="16" width="5" customWidth="1"/>
    <col min="17" max="17" width="5.453125" customWidth="1"/>
    <col min="18" max="18" width="6.1796875" customWidth="1"/>
    <col min="19" max="20" width="6.1796875" bestFit="1" customWidth="1"/>
    <col min="21" max="21" width="5.453125" customWidth="1"/>
    <col min="22" max="22" width="5.1796875" customWidth="1"/>
    <col min="23" max="23" width="5.453125" customWidth="1"/>
    <col min="24" max="24" width="5.54296875" customWidth="1"/>
    <col min="25" max="25" width="6" customWidth="1"/>
    <col min="26" max="26" width="6.54296875" customWidth="1"/>
    <col min="27" max="27" width="6.1796875" customWidth="1"/>
    <col min="28" max="28" width="6.453125" customWidth="1"/>
    <col min="29" max="29" width="5" customWidth="1"/>
    <col min="30" max="30" width="5.7265625" customWidth="1"/>
    <col min="31" max="31" width="5.26953125" customWidth="1"/>
    <col min="32" max="32" width="5.54296875" customWidth="1"/>
    <col min="33" max="33" width="5.453125" customWidth="1"/>
    <col min="34" max="34" width="5.81640625" customWidth="1"/>
    <col min="35" max="35" width="5.1796875" customWidth="1"/>
    <col min="36" max="36" width="5.54296875" customWidth="1"/>
  </cols>
  <sheetData>
    <row r="1" spans="1:43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ht="29.15" customHeight="1" x14ac:dyDescent="0.35">
      <c r="A2" s="23" t="s">
        <v>1</v>
      </c>
      <c r="B2" s="24" t="s">
        <v>2</v>
      </c>
      <c r="C2" s="24" t="s">
        <v>3</v>
      </c>
      <c r="D2" s="4" t="s">
        <v>4</v>
      </c>
      <c r="E2" s="24" t="s">
        <v>5</v>
      </c>
      <c r="F2" s="2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7</v>
      </c>
      <c r="O2" s="5" t="s">
        <v>8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13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11</v>
      </c>
      <c r="Z2" s="5" t="s">
        <v>12</v>
      </c>
      <c r="AA2" s="5" t="s">
        <v>13</v>
      </c>
      <c r="AB2" s="5" t="s">
        <v>7</v>
      </c>
      <c r="AC2" s="5" t="s">
        <v>8</v>
      </c>
      <c r="AD2" s="5" t="s">
        <v>9</v>
      </c>
      <c r="AE2" s="5" t="s">
        <v>10</v>
      </c>
      <c r="AF2" s="5" t="s">
        <v>11</v>
      </c>
      <c r="AG2" s="5" t="s">
        <v>12</v>
      </c>
      <c r="AH2" s="5" t="s">
        <v>13</v>
      </c>
      <c r="AI2" s="5" t="s">
        <v>7</v>
      </c>
      <c r="AJ2" s="5" t="s">
        <v>8</v>
      </c>
    </row>
    <row r="3" spans="1:43" x14ac:dyDescent="0.35">
      <c r="A3" s="23"/>
      <c r="B3" s="24"/>
      <c r="C3" s="24"/>
      <c r="D3" s="4" t="s">
        <v>14</v>
      </c>
      <c r="E3" s="24"/>
      <c r="F3" s="26"/>
      <c r="G3" s="6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6">
        <v>21</v>
      </c>
      <c r="AB3" s="6">
        <v>22</v>
      </c>
      <c r="AC3" s="6">
        <v>23</v>
      </c>
      <c r="AD3" s="6">
        <v>24</v>
      </c>
      <c r="AE3" s="6">
        <v>25</v>
      </c>
      <c r="AF3" s="6">
        <v>26</v>
      </c>
      <c r="AG3" s="6">
        <v>27</v>
      </c>
      <c r="AH3" s="6">
        <v>28</v>
      </c>
      <c r="AI3" s="6">
        <v>29</v>
      </c>
      <c r="AJ3" s="6">
        <v>30</v>
      </c>
    </row>
    <row r="4" spans="1:43" x14ac:dyDescent="0.35">
      <c r="A4" s="11" t="s">
        <v>15</v>
      </c>
      <c r="B4" s="18">
        <f>COUNTIF(G4:AJ4,"L")</f>
        <v>0</v>
      </c>
      <c r="C4" s="18">
        <f>COUNTIF(G4:AJ4,"OC")</f>
        <v>2</v>
      </c>
      <c r="D4" s="13" t="s">
        <v>16</v>
      </c>
      <c r="E4" s="13" t="s">
        <v>17</v>
      </c>
      <c r="F4" s="18" cm="1">
        <f t="array" ref="F4">SUM(COUNTIFS(G4:AJ4, {"E*","N","G"}))</f>
        <v>21</v>
      </c>
      <c r="H4" s="16" t="s">
        <v>18</v>
      </c>
      <c r="I4" s="16" t="s">
        <v>18</v>
      </c>
      <c r="J4" s="16" t="s">
        <v>18</v>
      </c>
      <c r="K4" s="16" t="s">
        <v>18</v>
      </c>
      <c r="L4" s="16" t="s">
        <v>18</v>
      </c>
      <c r="O4" s="16" t="s">
        <v>18</v>
      </c>
      <c r="P4" s="16" t="s">
        <v>18</v>
      </c>
      <c r="Q4" s="16" t="s">
        <v>18</v>
      </c>
      <c r="R4" s="16" t="s">
        <v>18</v>
      </c>
      <c r="S4" s="16" t="s">
        <v>18</v>
      </c>
      <c r="V4" s="2" t="s">
        <v>19</v>
      </c>
      <c r="W4" s="2" t="s">
        <v>19</v>
      </c>
      <c r="X4" s="2" t="s">
        <v>19</v>
      </c>
      <c r="Y4" s="2" t="s">
        <v>19</v>
      </c>
      <c r="Z4" s="2" t="s">
        <v>19</v>
      </c>
      <c r="AB4" s="3" t="s">
        <v>3</v>
      </c>
      <c r="AC4" s="2" t="s">
        <v>19</v>
      </c>
      <c r="AD4" s="2" t="s">
        <v>19</v>
      </c>
      <c r="AE4" s="2" t="s">
        <v>19</v>
      </c>
      <c r="AF4" s="2" t="s">
        <v>19</v>
      </c>
      <c r="AG4" s="2" t="s">
        <v>19</v>
      </c>
      <c r="AH4" s="3" t="s">
        <v>3</v>
      </c>
      <c r="AJ4" s="2" t="s">
        <v>19</v>
      </c>
    </row>
    <row r="5" spans="1:43" x14ac:dyDescent="0.35">
      <c r="A5" s="11" t="s">
        <v>20</v>
      </c>
      <c r="B5" s="18">
        <f t="shared" ref="B5:B15" si="0">COUNTIF(G5:AJ5,"L")</f>
        <v>2</v>
      </c>
      <c r="C5" s="18">
        <f t="shared" ref="C5:C15" si="1">COUNTIF(G5:AJ5,"OC")</f>
        <v>2</v>
      </c>
      <c r="D5" s="13" t="s">
        <v>21</v>
      </c>
      <c r="E5" s="13" t="s">
        <v>22</v>
      </c>
      <c r="F5" s="18" cm="1">
        <f t="array" ref="F5">SUM(COUNTIFS(G5:AJ5, {"E*","N","G"}))</f>
        <v>19</v>
      </c>
      <c r="G5" s="3" t="s">
        <v>3</v>
      </c>
      <c r="H5" s="16" t="s">
        <v>18</v>
      </c>
      <c r="I5" s="16" t="s">
        <v>18</v>
      </c>
      <c r="J5" s="16" t="s">
        <v>18</v>
      </c>
      <c r="K5" s="16" t="s">
        <v>18</v>
      </c>
      <c r="L5" s="16" t="s">
        <v>18</v>
      </c>
      <c r="M5" s="3" t="s">
        <v>3</v>
      </c>
      <c r="O5" s="16" t="s">
        <v>18</v>
      </c>
      <c r="P5" s="16" t="s">
        <v>18</v>
      </c>
      <c r="Q5" s="16" t="s">
        <v>18</v>
      </c>
      <c r="R5" s="16" t="s">
        <v>18</v>
      </c>
      <c r="S5" s="16" t="s">
        <v>18</v>
      </c>
      <c r="V5" s="16" t="s">
        <v>18</v>
      </c>
      <c r="W5" s="16" t="s">
        <v>18</v>
      </c>
      <c r="X5" s="16" t="s">
        <v>18</v>
      </c>
      <c r="Y5" s="16" t="s">
        <v>18</v>
      </c>
      <c r="Z5" s="16" t="s">
        <v>18</v>
      </c>
      <c r="AC5" s="16" t="s">
        <v>18</v>
      </c>
      <c r="AD5" s="16" t="s">
        <v>18</v>
      </c>
      <c r="AE5" s="16" t="s">
        <v>18</v>
      </c>
      <c r="AF5" s="16" t="s">
        <v>18</v>
      </c>
      <c r="AG5" s="9" t="s">
        <v>23</v>
      </c>
      <c r="AJ5" s="9" t="s">
        <v>23</v>
      </c>
    </row>
    <row r="6" spans="1:43" x14ac:dyDescent="0.35">
      <c r="A6" s="11" t="s">
        <v>15</v>
      </c>
      <c r="B6" s="18">
        <f t="shared" si="0"/>
        <v>0</v>
      </c>
      <c r="C6" s="18">
        <f t="shared" si="1"/>
        <v>2</v>
      </c>
      <c r="D6" s="13" t="s">
        <v>24</v>
      </c>
      <c r="E6" s="13" t="s">
        <v>17</v>
      </c>
      <c r="F6" s="18" cm="1">
        <f t="array" ref="F6">SUM(COUNTIFS(G6:AJ6, {"E*","N","G"}))</f>
        <v>21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U6" s="3" t="s">
        <v>3</v>
      </c>
      <c r="V6" s="16" t="s">
        <v>18</v>
      </c>
      <c r="W6" s="16" t="s">
        <v>18</v>
      </c>
      <c r="X6" s="16" t="s">
        <v>18</v>
      </c>
      <c r="Y6" s="16" t="s">
        <v>18</v>
      </c>
      <c r="Z6" s="16" t="s">
        <v>18</v>
      </c>
      <c r="AA6" s="3" t="s">
        <v>3</v>
      </c>
      <c r="AC6" s="16" t="s">
        <v>18</v>
      </c>
      <c r="AD6" s="16" t="s">
        <v>18</v>
      </c>
      <c r="AE6" s="16" t="s">
        <v>18</v>
      </c>
      <c r="AF6" s="16" t="s">
        <v>18</v>
      </c>
      <c r="AG6" s="16" t="s">
        <v>18</v>
      </c>
      <c r="AJ6" s="2" t="s">
        <v>19</v>
      </c>
    </row>
    <row r="7" spans="1:43" x14ac:dyDescent="0.35">
      <c r="A7" s="11" t="s">
        <v>15</v>
      </c>
      <c r="B7" s="18">
        <f t="shared" si="0"/>
        <v>3</v>
      </c>
      <c r="C7" s="18">
        <f t="shared" si="1"/>
        <v>3</v>
      </c>
      <c r="D7" s="13" t="s">
        <v>25</v>
      </c>
      <c r="E7" s="13" t="s">
        <v>17</v>
      </c>
      <c r="F7" s="18" cm="1">
        <f t="array" ref="F7">SUM(COUNTIFS(G7:AJ7, {"E*","N","G"}))</f>
        <v>18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N7" s="3" t="s">
        <v>3</v>
      </c>
      <c r="O7" s="2" t="s">
        <v>19</v>
      </c>
      <c r="P7" s="2" t="s">
        <v>19</v>
      </c>
      <c r="Q7" s="2" t="s">
        <v>19</v>
      </c>
      <c r="R7" s="2" t="s">
        <v>19</v>
      </c>
      <c r="S7" s="2" t="s">
        <v>19</v>
      </c>
      <c r="T7" s="3" t="s">
        <v>3</v>
      </c>
      <c r="V7" s="2" t="s">
        <v>19</v>
      </c>
      <c r="W7" s="2" t="s">
        <v>19</v>
      </c>
      <c r="X7" s="2" t="s">
        <v>19</v>
      </c>
      <c r="Y7" s="2" t="s">
        <v>19</v>
      </c>
      <c r="Z7" s="2" t="s">
        <v>19</v>
      </c>
      <c r="AC7" s="9" t="s">
        <v>23</v>
      </c>
      <c r="AD7" s="9" t="s">
        <v>23</v>
      </c>
      <c r="AE7" s="9" t="s">
        <v>23</v>
      </c>
      <c r="AF7" s="2" t="s">
        <v>19</v>
      </c>
      <c r="AG7" s="2" t="s">
        <v>19</v>
      </c>
      <c r="AI7" s="3" t="s">
        <v>3</v>
      </c>
      <c r="AJ7" s="16" t="s">
        <v>18</v>
      </c>
    </row>
    <row r="8" spans="1:43" x14ac:dyDescent="0.35">
      <c r="A8" s="11" t="s">
        <v>26</v>
      </c>
      <c r="B8" s="18">
        <f t="shared" si="0"/>
        <v>1</v>
      </c>
      <c r="C8" s="18">
        <f t="shared" si="1"/>
        <v>3</v>
      </c>
      <c r="D8" s="13" t="s">
        <v>27</v>
      </c>
      <c r="E8" s="13" t="s">
        <v>17</v>
      </c>
      <c r="F8" s="18" cm="1">
        <f t="array" ref="F8">SUM(COUNTIFS(G8:AJ8, {"E*","N","G"}))</f>
        <v>20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O8" s="9" t="s">
        <v>23</v>
      </c>
      <c r="P8" s="16" t="s">
        <v>18</v>
      </c>
      <c r="Q8" s="16" t="s">
        <v>18</v>
      </c>
      <c r="R8" s="16" t="s">
        <v>18</v>
      </c>
      <c r="S8" s="16" t="s">
        <v>18</v>
      </c>
      <c r="T8" s="3" t="s">
        <v>3</v>
      </c>
      <c r="U8" s="3" t="s">
        <v>3</v>
      </c>
      <c r="V8" s="16" t="s">
        <v>18</v>
      </c>
      <c r="W8" s="16" t="s">
        <v>18</v>
      </c>
      <c r="X8" s="16" t="s">
        <v>18</v>
      </c>
      <c r="Y8" s="16" t="s">
        <v>18</v>
      </c>
      <c r="Z8" s="16" t="s">
        <v>18</v>
      </c>
      <c r="AC8" s="2" t="s">
        <v>19</v>
      </c>
      <c r="AD8" s="2" t="s">
        <v>19</v>
      </c>
      <c r="AE8" s="2" t="s">
        <v>19</v>
      </c>
      <c r="AF8" s="2" t="s">
        <v>19</v>
      </c>
      <c r="AG8" s="2" t="s">
        <v>19</v>
      </c>
      <c r="AI8" s="3" t="s">
        <v>3</v>
      </c>
      <c r="AJ8" s="16" t="s">
        <v>18</v>
      </c>
    </row>
    <row r="9" spans="1:43" x14ac:dyDescent="0.35">
      <c r="A9" s="11" t="s">
        <v>26</v>
      </c>
      <c r="B9" s="18">
        <f t="shared" si="0"/>
        <v>1</v>
      </c>
      <c r="C9" s="18">
        <f t="shared" si="1"/>
        <v>2</v>
      </c>
      <c r="D9" s="13" t="s">
        <v>28</v>
      </c>
      <c r="E9" s="13" t="s">
        <v>29</v>
      </c>
      <c r="F9" s="18" cm="1">
        <f t="array" ref="F9">SUM(COUNTIFS(G9:AJ9, {"E*","N","G"}))</f>
        <v>20</v>
      </c>
      <c r="H9" s="16" t="s">
        <v>18</v>
      </c>
      <c r="I9" s="16" t="s">
        <v>18</v>
      </c>
      <c r="J9" s="16" t="s">
        <v>18</v>
      </c>
      <c r="K9" s="16" t="s">
        <v>18</v>
      </c>
      <c r="L9" s="16" t="s">
        <v>18</v>
      </c>
      <c r="M9" s="3" t="s">
        <v>3</v>
      </c>
      <c r="N9" s="3" t="s">
        <v>3</v>
      </c>
      <c r="O9" s="2" t="s">
        <v>19</v>
      </c>
      <c r="P9" s="2" t="s">
        <v>19</v>
      </c>
      <c r="Q9" s="2" t="s">
        <v>19</v>
      </c>
      <c r="R9" s="2" t="s">
        <v>19</v>
      </c>
      <c r="S9" s="2" t="s">
        <v>19</v>
      </c>
      <c r="V9" s="9" t="s">
        <v>23</v>
      </c>
      <c r="W9" s="16" t="s">
        <v>18</v>
      </c>
      <c r="X9" s="16" t="s">
        <v>18</v>
      </c>
      <c r="Y9" s="16" t="s">
        <v>18</v>
      </c>
      <c r="Z9" s="16" t="s">
        <v>18</v>
      </c>
      <c r="AC9" s="16" t="s">
        <v>18</v>
      </c>
      <c r="AD9" s="16" t="s">
        <v>18</v>
      </c>
      <c r="AE9" s="16" t="s">
        <v>18</v>
      </c>
      <c r="AF9" s="16" t="s">
        <v>18</v>
      </c>
      <c r="AG9" s="16" t="s">
        <v>18</v>
      </c>
      <c r="AJ9" s="2" t="s">
        <v>19</v>
      </c>
    </row>
    <row r="10" spans="1:43" x14ac:dyDescent="0.35">
      <c r="A10" s="11" t="s">
        <v>26</v>
      </c>
      <c r="B10" s="18">
        <f t="shared" si="0"/>
        <v>0</v>
      </c>
      <c r="C10" s="18">
        <f t="shared" si="1"/>
        <v>2</v>
      </c>
      <c r="D10" s="13" t="s">
        <v>30</v>
      </c>
      <c r="E10" s="13" t="s">
        <v>17</v>
      </c>
      <c r="F10" s="18" cm="1">
        <f t="array" ref="F10">SUM(COUNTIFS(G10:AJ10, {"E*","N","G"}))</f>
        <v>21</v>
      </c>
      <c r="H10" s="16" t="s">
        <v>18</v>
      </c>
      <c r="I10" s="16" t="s">
        <v>18</v>
      </c>
      <c r="J10" s="16" t="s">
        <v>18</v>
      </c>
      <c r="K10" s="16" t="s">
        <v>18</v>
      </c>
      <c r="L10" s="16" t="s">
        <v>18</v>
      </c>
      <c r="O10" s="16" t="s">
        <v>18</v>
      </c>
      <c r="P10" s="16" t="s">
        <v>18</v>
      </c>
      <c r="Q10" s="16" t="s">
        <v>18</v>
      </c>
      <c r="R10" s="16" t="s">
        <v>18</v>
      </c>
      <c r="S10" s="16" t="s">
        <v>18</v>
      </c>
      <c r="V10" s="2" t="s">
        <v>19</v>
      </c>
      <c r="W10" s="2" t="s">
        <v>19</v>
      </c>
      <c r="X10" s="2" t="s">
        <v>19</v>
      </c>
      <c r="Y10" s="2" t="s">
        <v>19</v>
      </c>
      <c r="Z10" s="2" t="s">
        <v>19</v>
      </c>
      <c r="AA10" s="3" t="s">
        <v>3</v>
      </c>
      <c r="AB10" s="3" t="s">
        <v>3</v>
      </c>
      <c r="AC10" s="16" t="s">
        <v>18</v>
      </c>
      <c r="AD10" s="16" t="s">
        <v>18</v>
      </c>
      <c r="AE10" s="16" t="s">
        <v>18</v>
      </c>
      <c r="AF10" s="16" t="s">
        <v>18</v>
      </c>
      <c r="AG10" s="16" t="s">
        <v>18</v>
      </c>
      <c r="AJ10" s="16" t="s">
        <v>18</v>
      </c>
    </row>
    <row r="11" spans="1:43" x14ac:dyDescent="0.35">
      <c r="A11" s="11" t="s">
        <v>26</v>
      </c>
      <c r="B11" s="18">
        <f>COUNTIF(G11:AJ11,"L")</f>
        <v>0</v>
      </c>
      <c r="C11" s="18">
        <f>COUNTIF(G11:AJ11,"OC")</f>
        <v>2</v>
      </c>
      <c r="D11" s="13" t="s">
        <v>31</v>
      </c>
      <c r="E11" s="13" t="s">
        <v>17</v>
      </c>
      <c r="F11" s="18" cm="1">
        <f t="array" ref="F11">SUM(COUNTIFS(G11:AJ11, {"E*","N","G"}))</f>
        <v>21</v>
      </c>
      <c r="G11" s="3" t="s">
        <v>3</v>
      </c>
      <c r="H11" s="16" t="s">
        <v>18</v>
      </c>
      <c r="I11" s="16" t="s">
        <v>18</v>
      </c>
      <c r="J11" s="16" t="s">
        <v>18</v>
      </c>
      <c r="K11" s="16" t="s">
        <v>18</v>
      </c>
      <c r="L11" s="16" t="s">
        <v>18</v>
      </c>
      <c r="O11" s="16" t="s">
        <v>18</v>
      </c>
      <c r="P11" s="16" t="s">
        <v>18</v>
      </c>
      <c r="Q11" s="16" t="s">
        <v>18</v>
      </c>
      <c r="R11" s="16" t="s">
        <v>18</v>
      </c>
      <c r="S11" s="16" t="s">
        <v>18</v>
      </c>
      <c r="V11" s="16" t="s">
        <v>18</v>
      </c>
      <c r="W11" s="16" t="s">
        <v>18</v>
      </c>
      <c r="X11" s="16" t="s">
        <v>18</v>
      </c>
      <c r="Y11" s="16" t="s">
        <v>18</v>
      </c>
      <c r="Z11" s="16" t="s">
        <v>18</v>
      </c>
      <c r="AC11" s="16" t="s">
        <v>18</v>
      </c>
      <c r="AD11" s="16" t="s">
        <v>18</v>
      </c>
      <c r="AE11" s="16" t="s">
        <v>18</v>
      </c>
      <c r="AF11" s="16" t="s">
        <v>18</v>
      </c>
      <c r="AG11" s="16" t="s">
        <v>18</v>
      </c>
      <c r="AH11" s="3" t="s">
        <v>3</v>
      </c>
      <c r="AJ11" s="16" t="s">
        <v>18</v>
      </c>
    </row>
    <row r="12" spans="1:43" x14ac:dyDescent="0.35">
      <c r="A12" s="11" t="s">
        <v>32</v>
      </c>
      <c r="B12" s="18">
        <f t="shared" si="0"/>
        <v>4</v>
      </c>
      <c r="C12" s="18">
        <f t="shared" si="1"/>
        <v>5</v>
      </c>
      <c r="D12" s="13" t="s">
        <v>33</v>
      </c>
      <c r="E12" s="13" t="s">
        <v>17</v>
      </c>
      <c r="F12" s="18" cm="1">
        <f t="array" ref="F12">SUM(COUNTIFS(G12:AJ12, {"E*","N","G"}))</f>
        <v>17</v>
      </c>
      <c r="G12" s="3" t="s">
        <v>3</v>
      </c>
      <c r="H12" s="9" t="s">
        <v>23</v>
      </c>
      <c r="I12" s="9" t="s">
        <v>23</v>
      </c>
      <c r="J12" s="9" t="s">
        <v>23</v>
      </c>
      <c r="K12" s="9" t="s">
        <v>23</v>
      </c>
      <c r="L12" s="16" t="s">
        <v>18</v>
      </c>
      <c r="O12" s="16" t="s">
        <v>18</v>
      </c>
      <c r="P12" s="16" t="s">
        <v>18</v>
      </c>
      <c r="Q12" s="16" t="s">
        <v>18</v>
      </c>
      <c r="R12" s="16" t="s">
        <v>18</v>
      </c>
      <c r="S12" s="16" t="s">
        <v>18</v>
      </c>
      <c r="T12" s="3" t="s">
        <v>3</v>
      </c>
      <c r="U12" s="3" t="s">
        <v>3</v>
      </c>
      <c r="V12" s="16" t="s">
        <v>18</v>
      </c>
      <c r="W12" s="16" t="s">
        <v>18</v>
      </c>
      <c r="X12" s="16" t="s">
        <v>18</v>
      </c>
      <c r="Y12" s="16" t="s">
        <v>18</v>
      </c>
      <c r="Z12" s="16" t="s">
        <v>18</v>
      </c>
      <c r="AC12" s="16" t="s">
        <v>18</v>
      </c>
      <c r="AD12" s="16" t="s">
        <v>18</v>
      </c>
      <c r="AE12" s="16" t="s">
        <v>18</v>
      </c>
      <c r="AF12" s="16" t="s">
        <v>18</v>
      </c>
      <c r="AG12" s="16" t="s">
        <v>18</v>
      </c>
      <c r="AH12" s="3" t="s">
        <v>3</v>
      </c>
      <c r="AI12" s="3" t="s">
        <v>3</v>
      </c>
      <c r="AJ12" s="16" t="s">
        <v>18</v>
      </c>
    </row>
    <row r="13" spans="1:43" x14ac:dyDescent="0.35">
      <c r="A13" s="11" t="s">
        <v>34</v>
      </c>
      <c r="B13" s="18">
        <f t="shared" si="0"/>
        <v>5</v>
      </c>
      <c r="C13" s="18">
        <f t="shared" si="1"/>
        <v>4</v>
      </c>
      <c r="D13" s="13" t="s">
        <v>35</v>
      </c>
      <c r="E13" s="13" t="s">
        <v>17</v>
      </c>
      <c r="F13" s="18" cm="1">
        <f t="array" ref="F13">SUM(COUNTIFS(G13:AJ13, {"E*","N","G"}))</f>
        <v>16</v>
      </c>
      <c r="H13" s="19" t="s">
        <v>36</v>
      </c>
      <c r="I13" s="19" t="s">
        <v>36</v>
      </c>
      <c r="J13" s="19" t="s">
        <v>36</v>
      </c>
      <c r="K13" s="19" t="s">
        <v>36</v>
      </c>
      <c r="L13" s="19" t="s">
        <v>36</v>
      </c>
      <c r="M13" s="3" t="s">
        <v>3</v>
      </c>
      <c r="N13" s="3" t="s">
        <v>3</v>
      </c>
      <c r="O13" s="19" t="s">
        <v>36</v>
      </c>
      <c r="P13" s="19" t="s">
        <v>36</v>
      </c>
      <c r="Q13" s="19" t="s">
        <v>36</v>
      </c>
      <c r="R13" s="19" t="s">
        <v>36</v>
      </c>
      <c r="S13" s="19" t="s">
        <v>36</v>
      </c>
      <c r="V13" s="9" t="s">
        <v>23</v>
      </c>
      <c r="W13" s="9" t="s">
        <v>23</v>
      </c>
      <c r="X13" s="9" t="s">
        <v>23</v>
      </c>
      <c r="Y13" s="9" t="s">
        <v>23</v>
      </c>
      <c r="Z13" s="9" t="s">
        <v>23</v>
      </c>
      <c r="AA13" s="3" t="s">
        <v>3</v>
      </c>
      <c r="AB13" s="3" t="s">
        <v>3</v>
      </c>
      <c r="AC13" s="19" t="s">
        <v>36</v>
      </c>
      <c r="AD13" s="19" t="s">
        <v>36</v>
      </c>
      <c r="AE13" s="19" t="s">
        <v>36</v>
      </c>
      <c r="AF13" s="19" t="s">
        <v>36</v>
      </c>
      <c r="AG13" s="19" t="s">
        <v>36</v>
      </c>
      <c r="AJ13" s="19" t="s">
        <v>36</v>
      </c>
    </row>
    <row r="14" spans="1:43" x14ac:dyDescent="0.35">
      <c r="A14" s="11" t="s">
        <v>37</v>
      </c>
      <c r="B14" s="18">
        <f t="shared" si="0"/>
        <v>2</v>
      </c>
      <c r="C14" s="18">
        <f t="shared" si="1"/>
        <v>0</v>
      </c>
      <c r="D14" s="13" t="s">
        <v>38</v>
      </c>
      <c r="E14" s="13" t="s">
        <v>29</v>
      </c>
      <c r="F14" s="18" cm="1">
        <f t="array" ref="F14">SUM(COUNTIFS(G14:AJ14, {"E*","N","G"}))</f>
        <v>19</v>
      </c>
      <c r="H14" s="2" t="s">
        <v>39</v>
      </c>
      <c r="I14" s="2" t="s">
        <v>39</v>
      </c>
      <c r="J14" s="9" t="s">
        <v>23</v>
      </c>
      <c r="K14" s="9" t="s">
        <v>23</v>
      </c>
      <c r="L14" s="2" t="s">
        <v>39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C14" s="2" t="s">
        <v>19</v>
      </c>
      <c r="AD14" s="2" t="s">
        <v>19</v>
      </c>
      <c r="AE14" s="2" t="s">
        <v>19</v>
      </c>
      <c r="AF14" s="2" t="s">
        <v>19</v>
      </c>
      <c r="AG14" s="2" t="s">
        <v>19</v>
      </c>
      <c r="AJ14" s="2" t="s">
        <v>39</v>
      </c>
    </row>
    <row r="15" spans="1:43" x14ac:dyDescent="0.35">
      <c r="A15" s="11" t="s">
        <v>40</v>
      </c>
      <c r="B15" s="18">
        <f t="shared" si="0"/>
        <v>0</v>
      </c>
      <c r="C15" s="18">
        <f t="shared" si="1"/>
        <v>0</v>
      </c>
      <c r="D15" s="13" t="s">
        <v>41</v>
      </c>
      <c r="E15" s="13" t="s">
        <v>17</v>
      </c>
      <c r="F15" s="18" cm="1">
        <f t="array" ref="F15">SUM(COUNTIFS(G15:AJ15, {"E*","N","G"}))</f>
        <v>21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O15" s="2" t="s">
        <v>19</v>
      </c>
      <c r="P15" s="2" t="s">
        <v>19</v>
      </c>
      <c r="Q15" s="2" t="s">
        <v>19</v>
      </c>
      <c r="R15" s="2" t="s">
        <v>19</v>
      </c>
      <c r="S15" s="2" t="s">
        <v>19</v>
      </c>
      <c r="V15" s="2" t="s">
        <v>19</v>
      </c>
      <c r="W15" s="2" t="s">
        <v>19</v>
      </c>
      <c r="X15" s="2" t="s">
        <v>19</v>
      </c>
      <c r="Y15" s="2" t="s">
        <v>19</v>
      </c>
      <c r="Z15" s="2" t="s">
        <v>19</v>
      </c>
      <c r="AC15" s="2" t="s">
        <v>19</v>
      </c>
      <c r="AD15" s="2" t="s">
        <v>19</v>
      </c>
      <c r="AE15" s="2" t="s">
        <v>19</v>
      </c>
      <c r="AF15" s="2" t="s">
        <v>19</v>
      </c>
      <c r="AG15" s="2" t="s">
        <v>19</v>
      </c>
      <c r="AJ15" s="2" t="s">
        <v>19</v>
      </c>
    </row>
    <row r="16" spans="1:43" x14ac:dyDescent="0.35">
      <c r="A16" s="11" t="s">
        <v>57</v>
      </c>
      <c r="B16" s="18">
        <f>COUNTIF(G16:AJ16,"L")</f>
        <v>0</v>
      </c>
      <c r="C16" s="18">
        <f>COUNTIF(G16:AJ16,"OC")</f>
        <v>0</v>
      </c>
      <c r="D16" s="13" t="s">
        <v>58</v>
      </c>
      <c r="E16" s="13" t="s">
        <v>17</v>
      </c>
      <c r="F16" s="18" cm="1">
        <f t="array" ref="F16">SUM(COUNTIFS(G16:AJ16, {"E*","N","G"}))</f>
        <v>21</v>
      </c>
      <c r="H16" s="16" t="s">
        <v>18</v>
      </c>
      <c r="I16" s="16" t="s">
        <v>18</v>
      </c>
      <c r="J16" s="16" t="s">
        <v>18</v>
      </c>
      <c r="K16" s="16" t="s">
        <v>18</v>
      </c>
      <c r="L16" s="16" t="s">
        <v>18</v>
      </c>
      <c r="O16" s="16" t="s">
        <v>18</v>
      </c>
      <c r="P16" s="16" t="s">
        <v>18</v>
      </c>
      <c r="Q16" s="16" t="s">
        <v>18</v>
      </c>
      <c r="R16" s="16" t="s">
        <v>18</v>
      </c>
      <c r="S16" s="16" t="s">
        <v>18</v>
      </c>
      <c r="V16" s="16" t="s">
        <v>18</v>
      </c>
      <c r="W16" s="16" t="s">
        <v>18</v>
      </c>
      <c r="X16" s="16" t="s">
        <v>18</v>
      </c>
      <c r="Y16" s="16" t="s">
        <v>18</v>
      </c>
      <c r="Z16" s="16" t="s">
        <v>18</v>
      </c>
      <c r="AC16" s="16" t="s">
        <v>18</v>
      </c>
      <c r="AD16" s="16" t="s">
        <v>18</v>
      </c>
      <c r="AE16" s="16" t="s">
        <v>18</v>
      </c>
      <c r="AF16" s="16" t="s">
        <v>18</v>
      </c>
      <c r="AG16" s="16" t="s">
        <v>18</v>
      </c>
      <c r="AJ16" s="16" t="s">
        <v>18</v>
      </c>
    </row>
    <row r="17" spans="1:9" ht="15" thickBot="1" x14ac:dyDescent="0.4"/>
    <row r="18" spans="1:9" x14ac:dyDescent="0.35">
      <c r="A18" s="1" t="s">
        <v>42</v>
      </c>
      <c r="B18" s="10" t="s">
        <v>43</v>
      </c>
      <c r="C18" s="10"/>
      <c r="D18" s="7" t="s">
        <v>44</v>
      </c>
      <c r="E18" s="7"/>
      <c r="F18" s="7"/>
      <c r="G18" s="7" t="s">
        <v>45</v>
      </c>
      <c r="H18" s="7"/>
      <c r="I18" s="14">
        <f>SUM(B4:B15)</f>
        <v>18</v>
      </c>
    </row>
    <row r="19" spans="1:9" ht="15" thickBot="1" x14ac:dyDescent="0.4">
      <c r="A19" s="2" t="s">
        <v>19</v>
      </c>
      <c r="B19" s="10" t="s">
        <v>46</v>
      </c>
      <c r="C19" s="10"/>
      <c r="D19" s="8" t="s">
        <v>47</v>
      </c>
      <c r="E19" s="20"/>
      <c r="F19" s="20"/>
      <c r="G19" s="20"/>
      <c r="H19" s="20"/>
      <c r="I19" s="21"/>
    </row>
    <row r="20" spans="1:9" ht="15" thickBot="1" x14ac:dyDescent="0.4">
      <c r="A20" s="2" t="s">
        <v>39</v>
      </c>
      <c r="B20" s="10" t="s">
        <v>46</v>
      </c>
      <c r="C20" s="10"/>
      <c r="D20" s="8" t="s">
        <v>48</v>
      </c>
      <c r="E20" s="8"/>
      <c r="F20" s="20"/>
    </row>
    <row r="21" spans="1:9" x14ac:dyDescent="0.35">
      <c r="A21" s="3" t="s">
        <v>3</v>
      </c>
      <c r="B21" s="10" t="s">
        <v>49</v>
      </c>
      <c r="C21" s="10"/>
    </row>
    <row r="22" spans="1:9" ht="13" customHeight="1" x14ac:dyDescent="0.35">
      <c r="A22" s="9" t="s">
        <v>23</v>
      </c>
      <c r="B22" s="11" t="s">
        <v>50</v>
      </c>
      <c r="C22" s="12"/>
    </row>
    <row r="23" spans="1:9" ht="12" customHeight="1" x14ac:dyDescent="0.35">
      <c r="A23" s="15" t="s">
        <v>51</v>
      </c>
      <c r="B23" s="13" t="s">
        <v>52</v>
      </c>
      <c r="C23" s="13"/>
    </row>
    <row r="24" spans="1:9" ht="15" thickBot="1" x14ac:dyDescent="0.4">
      <c r="A24" s="16" t="s">
        <v>18</v>
      </c>
      <c r="B24" s="10" t="s">
        <v>53</v>
      </c>
      <c r="C24" s="10"/>
      <c r="D24" s="8" t="s">
        <v>54</v>
      </c>
      <c r="E24" s="8"/>
      <c r="F24" s="20"/>
    </row>
    <row r="25" spans="1:9" ht="15" thickBot="1" x14ac:dyDescent="0.4">
      <c r="A25" s="17" t="s">
        <v>36</v>
      </c>
      <c r="B25" s="10" t="s">
        <v>55</v>
      </c>
      <c r="D25" s="8" t="s">
        <v>56</v>
      </c>
    </row>
  </sheetData>
  <mergeCells count="7">
    <mergeCell ref="AB1:AQ1"/>
    <mergeCell ref="A2:A3"/>
    <mergeCell ref="B2:B3"/>
    <mergeCell ref="C2:C3"/>
    <mergeCell ref="E2:E3"/>
    <mergeCell ref="A1:AA1"/>
    <mergeCell ref="F2:F3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1241b23b-050c-4118-8095-daa4755fab8b">
      <Url xsi:nil="true"/>
      <Description xsi:nil="true"/>
    </Hyperlink>
    <_Flow_SignoffStatus xmlns="1241b23b-050c-4118-8095-daa4755fab8b" xsi:nil="true"/>
    <_dlc_DocId xmlns="f03e7f4a-4424-45b5-b3ca-59e22e5a68a9">ZRFWJAKRAFMD-18398011-59323</_dlc_DocId>
    <_dlc_DocIdUrl xmlns="f03e7f4a-4424-45b5-b3ca-59e22e5a68a9">
      <Url>https://ericsson.sharepoint.com/sites/tmus_managed_services/organization_view/_layouts/15/DocIdRedir.aspx?ID=ZRFWJAKRAFMD-18398011-59323</Url>
      <Description>ZRFWJAKRAFMD-18398011-59323</Description>
    </_dlc_DocIdUrl>
    <TaxCatchAll xmlns="d8762117-8292-4133-b1c7-eab5c6487cfd" xsi:nil="true"/>
    <lcf76f155ced4ddcb4097134ff3c332f xmlns="1241b23b-050c-4118-8095-daa4755fab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46AD92C0C274B98E93AEF25E20793" ma:contentTypeVersion="146" ma:contentTypeDescription="Create a new document." ma:contentTypeScope="" ma:versionID="287718314618046184f1509145b8a075">
  <xsd:schema xmlns:xsd="http://www.w3.org/2001/XMLSchema" xmlns:xs="http://www.w3.org/2001/XMLSchema" xmlns:p="http://schemas.microsoft.com/office/2006/metadata/properties" xmlns:ns2="f03e7f4a-4424-45b5-b3ca-59e22e5a68a9" xmlns:ns3="1241b23b-050c-4118-8095-daa4755fab8b" xmlns:ns4="d1e4199c-07b0-416f-8f9c-d6ea671aaf33" xmlns:ns5="d8762117-8292-4133-b1c7-eab5c6487cfd" targetNamespace="http://schemas.microsoft.com/office/2006/metadata/properties" ma:root="true" ma:fieldsID="d6549e5a0ba3fa89447f1fb0d99f7063" ns2:_="" ns3:_="" ns4:_="" ns5:_="">
    <xsd:import namespace="f03e7f4a-4424-45b5-b3ca-59e22e5a68a9"/>
    <xsd:import namespace="1241b23b-050c-4118-8095-daa4755fab8b"/>
    <xsd:import namespace="d1e4199c-07b0-416f-8f9c-d6ea671aaf33"/>
    <xsd:import namespace="d8762117-8292-4133-b1c7-eab5c6487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Hyperlink" minOccurs="0"/>
                <xsd:element ref="ns3:_Flow_SignoffStatu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5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e7f4a-4424-45b5-b3ca-59e22e5a68a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1b23b-050c-4118-8095-daa4755fa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Hyperlink" ma:index="1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Flow_SignoffStatus" ma:index="19" nillable="true" ma:displayName="Sign-off status" ma:internalName="_x0024_Resources_x003a_core_x002c_Signoff_Status_x003b_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3d31b72-c4b9-4223-ac69-1d9539891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4199c-07b0-416f-8f9c-d6ea671aaf3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62117-8292-4133-b1c7-eab5c6487cf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825764a-deec-451a-9e82-f3caed072266}" ma:internalName="TaxCatchAll" ma:showField="CatchAllData" ma:web="f03e7f4a-4424-45b5-b3ca-59e22e5a6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D98C32-FDDC-4959-9C1E-EB0FFF11CCD9}">
  <ds:schemaRefs>
    <ds:schemaRef ds:uri="d8762117-8292-4133-b1c7-eab5c6487cfd"/>
    <ds:schemaRef ds:uri="http://purl.org/dc/terms/"/>
    <ds:schemaRef ds:uri="http://www.w3.org/XML/1998/namespace"/>
    <ds:schemaRef ds:uri="http://purl.org/dc/elements/1.1/"/>
    <ds:schemaRef ds:uri="f03e7f4a-4424-45b5-b3ca-59e22e5a68a9"/>
    <ds:schemaRef ds:uri="http://schemas.microsoft.com/office/infopath/2007/PartnerControls"/>
    <ds:schemaRef ds:uri="http://schemas.microsoft.com/office/2006/documentManagement/types"/>
    <ds:schemaRef ds:uri="d1e4199c-07b0-416f-8f9c-d6ea671aaf33"/>
    <ds:schemaRef ds:uri="http://purl.org/dc/dcmitype/"/>
    <ds:schemaRef ds:uri="http://schemas.openxmlformats.org/package/2006/metadata/core-properties"/>
    <ds:schemaRef ds:uri="1241b23b-050c-4118-8095-daa4755fab8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FAE0FEA-9EBC-4D56-A11C-A2AF7A074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e7f4a-4424-45b5-b3ca-59e22e5a68a9"/>
    <ds:schemaRef ds:uri="1241b23b-050c-4118-8095-daa4755fab8b"/>
    <ds:schemaRef ds:uri="d1e4199c-07b0-416f-8f9c-d6ea671aaf33"/>
    <ds:schemaRef ds:uri="d8762117-8292-4133-b1c7-eab5c6487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5814CD-E545-4C92-93FD-F451E2FC897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8F0F28B-1CD7-4D46-AC76-63B7493AE7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Harbakshish Singh</dc:creator>
  <cp:keywords/>
  <dc:description/>
  <cp:lastModifiedBy>Nidhi Mendiratta</cp:lastModifiedBy>
  <cp:revision/>
  <dcterms:created xsi:type="dcterms:W3CDTF">2018-05-30T18:30:06Z</dcterms:created>
  <dcterms:modified xsi:type="dcterms:W3CDTF">2025-06-12T09:43:30Z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0x01010001346AD92C0C274B98E93AEF25E20793</vt:lpwstr>
  </property>
  <property fmtid="{D5CDD505-2E9C-101B-9397-08002B2CF9AE}" pid="3" name="_dlc_DocIdItemGuid">
    <vt:lpwstr>a84c6b2e-7182-4c3d-ba41-f53a488b2afb</vt:lpwstr>
  </property>
  <property fmtid="{D5CDD505-2E9C-101B-9397-08002B2CF9AE}" pid="4" name="MediaServiceImageTags">
    <vt:lpwstr/>
  </property>
</Properties>
</file>